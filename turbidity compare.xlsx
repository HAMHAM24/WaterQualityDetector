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README" sheetId="1" state="visible" r:id="rId1"/>
    <sheet name="Regresi" sheetId="2" state="visible" r:id="rId2"/>
    <sheet name="Data Kalibrasi" sheetId="3" state="visible" r:id="rId3"/>
    <sheet name="Data Asli" sheetId="4" state="visible" r:id="rId4"/>
    <sheet name="Pembacaan Lama" sheetId="5" state="visible" r:id="rId5"/>
  </sheets>
  <definedNames>
    <definedName name="_xlnm._FilterDatabase" localSheetId="2" hidden="1">'Data Kalibrasi'!$A$4:$H$12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0000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i val="1"/>
      <color rgb="FF555555"/>
      <sz val="10"/>
    </font>
    <font>
      <name val="Arial"/>
      <family val="2"/>
      <sz val="11"/>
    </font>
    <font>
      <name val="Arial"/>
      <family val="2"/>
      <color rgb="FF555555"/>
      <sz val="10"/>
    </font>
    <font>
      <name val="Arial"/>
      <family val="2"/>
      <i val="1"/>
      <sz val="10"/>
    </font>
    <font>
      <b val="1"/>
      <color rgb="00FFFFFF"/>
      <sz val="14"/>
    </font>
    <font>
      <i val="1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8" fillId="5" borderId="0" applyAlignment="1" pivotButton="0" quotePrefix="0" xfId="0">
      <alignment wrapText="1"/>
    </xf>
    <xf numFmtId="0" fontId="9" fillId="6" borderId="11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2" fontId="0" fillId="0" borderId="11" applyAlignment="1" pivotButton="0" quotePrefix="0" xfId="0">
      <alignment vertical="center" wrapText="1"/>
    </xf>
    <xf numFmtId="164" fontId="0" fillId="0" borderId="11" applyAlignment="1" pivotButton="0" quotePrefix="0" xfId="0">
      <alignment vertical="center" wrapText="1"/>
    </xf>
    <xf numFmtId="0" fontId="10" fillId="5" borderId="0" pivotButton="0" quotePrefix="0" xfId="0"/>
    <xf numFmtId="0" fontId="9" fillId="6" borderId="11" applyAlignment="1" pivotButton="0" quotePrefix="0" xfId="0">
      <alignment horizontal="center" vertical="center" wrapText="1"/>
    </xf>
    <xf numFmtId="165" fontId="0" fillId="0" borderId="11" applyAlignment="1" pivotButton="0" quotePrefix="0" xfId="0">
      <alignment vertical="center" wrapText="1"/>
    </xf>
    <xf numFmtId="0" fontId="9" fillId="6" borderId="0" pivotButton="0" quotePrefix="0" xfId="0"/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9" borderId="0" applyAlignment="1" pivotButton="0" quotePrefix="0" xfId="0">
      <alignment wrapText="1"/>
    </xf>
    <xf numFmtId="166" fontId="0" fillId="0" borderId="1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Kalibrasi ADC terhadap NTU Lab Bante</a:t>
            </a:r>
          </a:p>
        </rich>
      </tx>
    </title>
    <plotArea>
      <scatterChart>
        <ser>
          <idx val="0"/>
          <order val="0"/>
          <tx>
            <v>Data Lab Bante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 Kalibrasi'!$E$5:$E$12</f>
            </numRef>
          </xVal>
          <yVal>
            <numRef>
              <f>'Data Kalibrasi'!$F$5:$F$12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ADC Alatku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NTU Lab Bante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9" t="inlineStr">
        <is>
          <t>Workbook Kalibrasi Turbidity Aktif</t>
        </is>
      </c>
    </row>
    <row r="3" ht="32" customHeight="1">
      <c r="A3" s="30" t="inlineStr">
        <is>
          <t>Gunakan workbook ini untuk data Lab Bante terbaru. Jangan gunakan workbook Perbandingan_Turbidity.xlsx untuk menghitung koefisien.</t>
        </is>
      </c>
    </row>
    <row r="5">
      <c r="A5" s="28" t="inlineStr">
        <is>
          <t>Urutan penggunaan</t>
        </is>
      </c>
    </row>
    <row r="6" ht="30" customHeight="1">
      <c r="A6" s="22" t="inlineStr">
        <is>
          <t>1.</t>
        </is>
      </c>
      <c r="B6" s="22" t="inlineStr">
        <is>
          <t>Catat ADC stabil pada Live Turbidity dan NTU dari Lab Bante untuk sampel yang sama.</t>
        </is>
      </c>
      <c r="C6" s="22" t="n"/>
      <c r="D6" s="22" t="n"/>
      <c r="E6" s="22" t="n"/>
      <c r="F6" s="22" t="n"/>
    </row>
    <row r="7" ht="30" customHeight="1">
      <c r="A7" s="22" t="inlineStr">
        <is>
          <t>2.</t>
        </is>
      </c>
      <c r="B7" s="22" t="inlineStr">
        <is>
          <t>Tambahkan pasangan data baru pada Data Kalibrasi dan kalibrasi_turbidity.py.</t>
        </is>
      </c>
      <c r="C7" s="22" t="n"/>
      <c r="D7" s="22" t="n"/>
      <c r="E7" s="22" t="n"/>
      <c r="F7" s="22" t="n"/>
    </row>
    <row r="8" ht="30" customHeight="1">
      <c r="A8" s="22" t="inlineStr">
        <is>
          <t>3.</t>
        </is>
      </c>
      <c r="B8" s="22" t="inlineStr">
        <is>
          <t>Jalankan: python kalibrasi_turbidity.py --no-plot.</t>
        </is>
      </c>
      <c r="C8" s="22" t="n"/>
      <c r="D8" s="22" t="n"/>
      <c r="E8" s="22" t="n"/>
      <c r="F8" s="22" t="n"/>
    </row>
    <row r="9" ht="30" customHeight="1">
      <c r="A9" s="22" t="inlineStr">
        <is>
          <t>4.</t>
        </is>
      </c>
      <c r="B9" s="22" t="inlineStr">
        <is>
          <t>Salin slope dan intercept hasil script ke main/config.h, lalu build dan upload firmware.</t>
        </is>
      </c>
      <c r="C9" s="22" t="n"/>
      <c r="D9" s="22" t="n"/>
      <c r="E9" s="22" t="n"/>
      <c r="F9" s="22" t="n"/>
    </row>
    <row r="10">
      <c r="A10" s="22" t="n"/>
      <c r="B10" s="22" t="n"/>
      <c r="C10" s="22" t="n"/>
      <c r="D10" s="22" t="n"/>
      <c r="E10" s="22" t="n"/>
      <c r="F10" s="22" t="n"/>
    </row>
    <row r="11">
      <c r="A11" s="22" t="n"/>
      <c r="B11" s="22" t="n"/>
      <c r="C11" s="22" t="n"/>
      <c r="D11" s="22" t="n"/>
      <c r="E11" s="22" t="n"/>
      <c r="F11" s="22" t="n"/>
    </row>
    <row r="12">
      <c r="A12" s="21" t="inlineStr">
        <is>
          <t>Status pembacaan</t>
        </is>
      </c>
      <c r="B12" s="22" t="n"/>
      <c r="C12" s="22" t="n"/>
      <c r="D12" s="22" t="n"/>
      <c r="E12" s="22" t="n"/>
      <c r="F12" s="22" t="n"/>
    </row>
    <row r="13">
      <c r="A13" s="22" t="inlineStr">
        <is>
          <t>BAWAH RENTANG</t>
        </is>
      </c>
      <c r="B13" s="22" t="inlineStr">
        <is>
          <t>ADC &lt; 710; hasil dijepit ke 0 NTU.</t>
        </is>
      </c>
      <c r="C13" s="22" t="n"/>
      <c r="D13" s="22" t="n"/>
      <c r="E13" s="22" t="n"/>
      <c r="F13" s="22" t="n"/>
    </row>
    <row r="14">
      <c r="A14" s="22" t="inlineStr">
        <is>
          <t>TERKALIBRASI</t>
        </is>
      </c>
      <c r="B14" s="22" t="inlineStr">
        <is>
          <t>ADC 710-1084; rentang 0-468 NTU sudah diuji.</t>
        </is>
      </c>
      <c r="C14" s="22" t="n"/>
      <c r="D14" s="22" t="n"/>
      <c r="E14" s="22" t="n"/>
      <c r="F14" s="22" t="n"/>
    </row>
    <row r="15">
      <c r="A15" s="22" t="inlineStr">
        <is>
          <t>ESTIMASI &gt;468</t>
        </is>
      </c>
      <c r="B15" s="22" t="inlineStr">
        <is>
          <t>ADC &gt; 1084; hasil belum diverifikasi Lab Bante.</t>
        </is>
      </c>
      <c r="C15" s="22" t="n"/>
      <c r="D15" s="22" t="n"/>
      <c r="E15" s="22" t="n"/>
      <c r="F15" s="22" t="n"/>
    </row>
    <row r="16">
      <c r="A16" s="22" t="inlineStr">
        <is>
          <t>ERROR</t>
        </is>
      </c>
      <c r="B16" s="22" t="inlineStr">
        <is>
          <t>ADC mentah 0 atau 4095; periksa sensor/rangkaian.</t>
        </is>
      </c>
      <c r="C16" s="22" t="n"/>
      <c r="D16" s="22" t="n"/>
      <c r="E16" s="22" t="n"/>
      <c r="F16" s="22" t="n"/>
    </row>
  </sheetData>
  <mergeCells count="10">
    <mergeCell ref="B7:F7"/>
    <mergeCell ref="B6:F6"/>
    <mergeCell ref="B16:F16"/>
    <mergeCell ref="B15:F15"/>
    <mergeCell ref="A1:F1"/>
    <mergeCell ref="B14:F14"/>
    <mergeCell ref="B8:F8"/>
    <mergeCell ref="A3:F3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" customWidth="1" min="3" max="3"/>
    <col width="18" customWidth="1" min="4" max="4"/>
    <col width="18" customWidth="1" min="5" max="5"/>
    <col width="18" customWidth="1" min="6" max="6"/>
  </cols>
  <sheetData>
    <row r="1">
      <c r="A1" s="19" t="inlineStr">
        <is>
          <t>Ringkasan Regresi Linear Turbidity</t>
        </is>
      </c>
    </row>
    <row r="3">
      <c r="A3" s="25" t="inlineStr">
        <is>
          <t>Model: NTU = slope x ADC + intercept</t>
        </is>
      </c>
    </row>
    <row r="5">
      <c r="A5" s="26" t="inlineStr">
        <is>
          <t>Parameter</t>
        </is>
      </c>
      <c r="B5" s="26" t="inlineStr">
        <is>
          <t>Nilai</t>
        </is>
      </c>
    </row>
    <row r="6">
      <c r="A6" s="22" t="inlineStr">
        <is>
          <t>Jumlah titik (n)</t>
        </is>
      </c>
      <c r="B6" s="27" t="n">
        <v>8</v>
      </c>
    </row>
    <row r="7">
      <c r="A7" s="22" t="inlineStr">
        <is>
          <t>Jumlah ADC</t>
        </is>
      </c>
      <c r="B7" s="27" t="n">
        <v>6312</v>
      </c>
    </row>
    <row r="8">
      <c r="A8" s="22" t="inlineStr">
        <is>
          <t>Jumlah NTU</t>
        </is>
      </c>
      <c r="B8" s="27" t="n">
        <v>789.35</v>
      </c>
    </row>
    <row r="9">
      <c r="A9" s="22" t="inlineStr">
        <is>
          <t>Rata-rata ADC (x_bar)</t>
        </is>
      </c>
      <c r="B9" s="27" t="n">
        <v>789</v>
      </c>
    </row>
    <row r="10">
      <c r="A10" s="22" t="inlineStr">
        <is>
          <t>Rata-rata NTU (y_bar)</t>
        </is>
      </c>
      <c r="B10" s="27" t="n">
        <v>98.66875</v>
      </c>
    </row>
    <row r="11">
      <c r="A11" s="22" t="inlineStr">
        <is>
          <t>Sxy</t>
        </is>
      </c>
      <c r="B11" s="27" t="n">
        <v>141916.47</v>
      </c>
    </row>
    <row r="12">
      <c r="A12" s="22" t="inlineStr">
        <is>
          <t>Sxx</t>
        </is>
      </c>
      <c r="B12" s="27" t="n">
        <v>113384</v>
      </c>
    </row>
    <row r="13">
      <c r="A13" s="22" t="inlineStr">
        <is>
          <t>Slope (m)</t>
        </is>
      </c>
      <c r="B13" s="27" t="n">
        <v>1.2516445883017</v>
      </c>
    </row>
    <row r="14">
      <c r="A14" s="22" t="inlineStr">
        <is>
          <t>Intercept (b)</t>
        </is>
      </c>
      <c r="B14" s="27" t="n">
        <v>-888.878830170042</v>
      </c>
    </row>
    <row r="15">
      <c r="A15" s="22" t="inlineStr">
        <is>
          <t>R kuadrat</t>
        </is>
      </c>
      <c r="B15" s="27" t="n">
        <v>0.999975641836792</v>
      </c>
    </row>
    <row r="16">
      <c r="A16" s="22" t="inlineStr">
        <is>
          <t>RMSE (NTU)</t>
        </is>
      </c>
      <c r="B16" s="27" t="n">
        <v>0.735</v>
      </c>
    </row>
    <row r="18">
      <c r="A18" s="28" t="inlineStr">
        <is>
          <t>Rumus firmware</t>
        </is>
      </c>
      <c r="B18" s="29" t="inlineStr">
        <is>
          <t>NTU = 1.251645 x ADC - 888.878830</t>
        </is>
      </c>
    </row>
    <row r="20" ht="32" customHeight="1">
      <c r="A20" s="28" t="inlineStr">
        <is>
          <t>Batas klaim</t>
        </is>
      </c>
      <c r="B20" s="30" t="inlineStr">
        <is>
          <t>Terkalibrasi pada ADC 710-1084 atau 0-468 NTU. Di atasnya hanya estimasi.</t>
        </is>
      </c>
    </row>
  </sheetData>
  <mergeCells count="4">
    <mergeCell ref="A3:F3"/>
    <mergeCell ref="B20:F20"/>
    <mergeCell ref="A1:F1"/>
    <mergeCell ref="B18:F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5" customWidth="1" min="3" max="3"/>
    <col width="22" customWidth="1" min="4" max="4"/>
    <col width="14" customWidth="1" min="5" max="5"/>
    <col width="16" customWidth="1" min="6" max="6"/>
    <col width="22" customWidth="1" min="7" max="7"/>
    <col width="24" customWidth="1" min="8" max="8"/>
    <col width="3" customWidth="1" min="9" max="9"/>
    <col width="22" customWidth="1" min="10" max="10"/>
    <col width="16" customWidth="1" min="11" max="11"/>
  </cols>
  <sheetData>
    <row r="1">
      <c r="A1" s="19" t="inlineStr">
        <is>
          <t>Data Kalibrasi Turbidity - Referensi Lab Bante</t>
        </is>
      </c>
    </row>
    <row r="2">
      <c r="A2" s="20" t="inlineStr">
        <is>
          <t>Gunakan hanya ADC Alatku dan NTU Lab Bante untuk regresi. Rentang tervalidasi: 0-468 NTU.</t>
        </is>
      </c>
    </row>
    <row r="4">
      <c r="A4" s="21" t="inlineStr">
        <is>
          <t>No.</t>
        </is>
      </c>
      <c r="B4" s="21" t="inlineStr">
        <is>
          <t>Sampel</t>
        </is>
      </c>
      <c r="C4" s="21" t="inlineStr">
        <is>
          <t>Aquades (mL)</t>
        </is>
      </c>
      <c r="D4" s="21" t="inlineStr">
        <is>
          <t>Formazin 500 NTU (mL)</t>
        </is>
      </c>
      <c r="E4" s="21" t="inlineStr">
        <is>
          <t>ADC Alatku</t>
        </is>
      </c>
      <c r="F4" s="21" t="inlineStr">
        <is>
          <t>NTU Lab Bante</t>
        </is>
      </c>
      <c r="G4" s="21" t="inlineStr">
        <is>
          <t>Prediksi Regresi (NTU)</t>
        </is>
      </c>
      <c r="H4" s="21" t="inlineStr">
        <is>
          <t>Residual (Lab - Prediksi)</t>
        </is>
      </c>
      <c r="I4" s="22" t="n"/>
      <c r="J4" s="21" t="inlineStr">
        <is>
          <t>Koefisien Firmware</t>
        </is>
      </c>
      <c r="K4" s="21" t="inlineStr">
        <is>
          <t>Nilai</t>
        </is>
      </c>
    </row>
    <row r="5">
      <c r="A5" s="22" t="n">
        <v>1</v>
      </c>
      <c r="B5" s="22" t="inlineStr">
        <is>
          <t>Full aquades</t>
        </is>
      </c>
      <c r="C5" s="23" t="inlineStr">
        <is>
          <t>Penuh</t>
        </is>
      </c>
      <c r="D5" s="23" t="n">
        <v>0</v>
      </c>
      <c r="E5" s="22" t="n">
        <v>710</v>
      </c>
      <c r="F5" s="23" t="n">
        <v>0</v>
      </c>
      <c r="G5" s="23">
        <f>$K$5*E5+$K$6</f>
        <v/>
      </c>
      <c r="H5" s="23">
        <f>F5-G5</f>
        <v/>
      </c>
      <c r="I5" s="22" t="n"/>
      <c r="J5" s="22" t="inlineStr">
        <is>
          <t>Slope</t>
        </is>
      </c>
      <c r="K5" s="24" t="n">
        <v>1.2516445883017</v>
      </c>
    </row>
    <row r="6">
      <c r="A6" s="22" t="n">
        <v>2</v>
      </c>
      <c r="B6" s="22" t="inlineStr">
        <is>
          <t>Aquades + Formazin</t>
        </is>
      </c>
      <c r="C6" s="23" t="n">
        <v>14.7</v>
      </c>
      <c r="D6" s="23" t="n">
        <v>0.3</v>
      </c>
      <c r="E6" s="22" t="n">
        <v>718</v>
      </c>
      <c r="F6" s="23" t="n">
        <v>9.44</v>
      </c>
      <c r="G6" s="23">
        <f>$K$5*E6+$K$6</f>
        <v/>
      </c>
      <c r="H6" s="23">
        <f>F6-G6</f>
        <v/>
      </c>
      <c r="I6" s="22" t="n"/>
      <c r="J6" s="22" t="inlineStr">
        <is>
          <t>Intercept</t>
        </is>
      </c>
      <c r="K6" s="24" t="n">
        <v>-888.878830170042</v>
      </c>
    </row>
    <row r="7">
      <c r="A7" s="22" t="n">
        <v>3</v>
      </c>
      <c r="B7" s="22" t="inlineStr">
        <is>
          <t>Aquades + Formazin</t>
        </is>
      </c>
      <c r="C7" s="23" t="n">
        <v>14.4</v>
      </c>
      <c r="D7" s="23" t="n">
        <v>0.6</v>
      </c>
      <c r="E7" s="22" t="n">
        <v>726</v>
      </c>
      <c r="F7" s="23" t="n">
        <v>19.47</v>
      </c>
      <c r="G7" s="23">
        <f>$K$5*E7+$K$6</f>
        <v/>
      </c>
      <c r="H7" s="23">
        <f>F7-G7</f>
        <v/>
      </c>
      <c r="I7" s="22" t="n"/>
      <c r="J7" s="22" t="inlineStr">
        <is>
          <t>R kuadrat</t>
        </is>
      </c>
      <c r="K7" s="24" t="n">
        <v>0.999975641836792</v>
      </c>
    </row>
    <row r="8">
      <c r="A8" s="22" t="n">
        <v>4</v>
      </c>
      <c r="B8" s="22" t="inlineStr">
        <is>
          <t>Aquades + Formazin</t>
        </is>
      </c>
      <c r="C8" s="23" t="n">
        <v>14.01</v>
      </c>
      <c r="D8" s="23" t="n">
        <v>0.9</v>
      </c>
      <c r="E8" s="22" t="n">
        <v>732</v>
      </c>
      <c r="F8" s="23" t="n">
        <v>28.97</v>
      </c>
      <c r="G8" s="23">
        <f>$K$5*E8+$K$6</f>
        <v/>
      </c>
      <c r="H8" s="23">
        <f>F8-G8</f>
        <v/>
      </c>
      <c r="I8" s="22" t="n"/>
      <c r="J8" s="22" t="inlineStr">
        <is>
          <t>RMSE (NTU)</t>
        </is>
      </c>
      <c r="K8" s="24" t="n">
        <v>0.735</v>
      </c>
    </row>
    <row r="9">
      <c r="A9" s="22" t="n">
        <v>5</v>
      </c>
      <c r="B9" s="22" t="inlineStr">
        <is>
          <t>Aquades + Formazin</t>
        </is>
      </c>
      <c r="C9" s="23" t="n">
        <v>13.8</v>
      </c>
      <c r="D9" s="23" t="n">
        <v>1.2</v>
      </c>
      <c r="E9" s="22" t="n">
        <v>742</v>
      </c>
      <c r="F9" s="23" t="n">
        <v>38.72</v>
      </c>
      <c r="G9" s="23">
        <f>$K$5*E9+$K$6</f>
        <v/>
      </c>
      <c r="H9" s="23">
        <f>F9-G9</f>
        <v/>
      </c>
      <c r="I9" s="22" t="n"/>
      <c r="J9" s="22" t="inlineStr">
        <is>
          <t>ADC minimum</t>
        </is>
      </c>
      <c r="K9" s="22" t="n">
        <v>710</v>
      </c>
    </row>
    <row r="10">
      <c r="A10" s="22" t="n">
        <v>6</v>
      </c>
      <c r="B10" s="22" t="inlineStr">
        <is>
          <t>Aquades + Formazin</t>
        </is>
      </c>
      <c r="C10" s="23" t="n">
        <v>13.31</v>
      </c>
      <c r="D10" s="23" t="n">
        <v>1.69</v>
      </c>
      <c r="E10" s="22" t="n">
        <v>748</v>
      </c>
      <c r="F10" s="23" t="n">
        <v>47.45</v>
      </c>
      <c r="G10" s="23">
        <f>$K$5*E10+$K$6</f>
        <v/>
      </c>
      <c r="H10" s="23">
        <f>F10-G10</f>
        <v/>
      </c>
      <c r="I10" s="22" t="n"/>
      <c r="J10" s="22" t="inlineStr">
        <is>
          <t>ADC maksimum</t>
        </is>
      </c>
      <c r="K10" s="22" t="n">
        <v>1084</v>
      </c>
    </row>
    <row r="11">
      <c r="A11" s="22" t="n">
        <v>7</v>
      </c>
      <c r="B11" s="22" t="inlineStr">
        <is>
          <t>Aquades + Formazin</t>
        </is>
      </c>
      <c r="C11" s="23" t="n">
        <v>9</v>
      </c>
      <c r="D11" s="23" t="n">
        <v>6</v>
      </c>
      <c r="E11" s="22" t="n">
        <v>852</v>
      </c>
      <c r="F11" s="23" t="n">
        <v>177.3</v>
      </c>
      <c r="G11" s="23">
        <f>$K$5*E11+$K$6</f>
        <v/>
      </c>
      <c r="H11" s="23">
        <f>F11-G11</f>
        <v/>
      </c>
      <c r="I11" s="22" t="n"/>
      <c r="J11" s="22" t="inlineStr">
        <is>
          <t>NTU minimum</t>
        </is>
      </c>
      <c r="K11" s="22" t="n">
        <v>0</v>
      </c>
    </row>
    <row r="12">
      <c r="A12" s="22" t="n">
        <v>8</v>
      </c>
      <c r="B12" s="22" t="inlineStr">
        <is>
          <t>Full Formazin</t>
        </is>
      </c>
      <c r="C12" s="23" t="n">
        <v>0</v>
      </c>
      <c r="D12" s="23" t="inlineStr">
        <is>
          <t>Penuh</t>
        </is>
      </c>
      <c r="E12" s="22" t="n">
        <v>1084</v>
      </c>
      <c r="F12" s="23" t="n">
        <v>468</v>
      </c>
      <c r="G12" s="23">
        <f>$K$5*E12+$K$6</f>
        <v/>
      </c>
      <c r="H12" s="23">
        <f>F12-G12</f>
        <v/>
      </c>
      <c r="I12" s="22" t="n"/>
      <c r="J12" s="22" t="inlineStr">
        <is>
          <t>NTU maksimum</t>
        </is>
      </c>
      <c r="K12" s="22" t="n">
        <v>468</v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4:L16"/>
  <sheetViews>
    <sheetView showGridLines="0" tabSelected="1" zoomScale="70" zoomScaleNormal="70" workbookViewId="0">
      <selection activeCell="G14" sqref="G14"/>
    </sheetView>
  </sheetViews>
  <sheetFormatPr baseColWidth="8" defaultRowHeight="14.25"/>
  <cols>
    <col width="24.59765625" customWidth="1" min="3" max="3"/>
    <col width="17.265625" customWidth="1" min="9" max="9"/>
    <col width="18.59765625" customWidth="1" min="12" max="12"/>
  </cols>
  <sheetData>
    <row r="4">
      <c r="B4" s="1" t="n"/>
      <c r="C4" s="17" t="inlineStr">
        <is>
          <t>Sampel Baru</t>
        </is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2" t="n"/>
    </row>
    <row r="5">
      <c r="B5" s="1" t="n"/>
      <c r="C5" s="18" t="inlineStr">
        <is>
          <t>Sampel</t>
        </is>
      </c>
      <c r="D5" s="33" t="n"/>
      <c r="E5" s="34" t="n"/>
      <c r="F5" s="1" t="n"/>
      <c r="G5" s="1" t="n"/>
      <c r="H5" s="18" t="inlineStr">
        <is>
          <t>Alatku</t>
        </is>
      </c>
      <c r="I5" s="33" t="n"/>
      <c r="J5" s="34" t="n"/>
      <c r="K5" s="18" t="inlineStr">
        <is>
          <t>alat Lab Bante</t>
        </is>
      </c>
      <c r="L5" s="34" t="n"/>
    </row>
    <row r="6" ht="67.5" customHeight="1">
      <c r="C6" s="2" t="inlineStr">
        <is>
          <t>Sampel Jenis</t>
        </is>
      </c>
      <c r="D6" s="2" t="inlineStr">
        <is>
          <t>Jumlah Aquades (ml)</t>
        </is>
      </c>
      <c r="E6" s="2" t="inlineStr">
        <is>
          <t>Jumlah Formazin (500 NTU) (ml)</t>
        </is>
      </c>
      <c r="H6" s="3" t="inlineStr">
        <is>
          <t>ADC</t>
        </is>
      </c>
      <c r="I6" s="3" t="inlineStr">
        <is>
          <t>Turbidity (NTU)</t>
        </is>
      </c>
      <c r="J6" s="3" t="inlineStr">
        <is>
          <t>Volt</t>
        </is>
      </c>
      <c r="K6" s="3" t="inlineStr">
        <is>
          <t>ADC</t>
        </is>
      </c>
      <c r="L6" s="3" t="inlineStr">
        <is>
          <t>Turbidity</t>
        </is>
      </c>
    </row>
    <row r="7">
      <c r="B7" s="4" t="n">
        <v>1</v>
      </c>
      <c r="C7" s="5" t="inlineStr">
        <is>
          <t>Full Aquades</t>
        </is>
      </c>
      <c r="D7" s="6" t="inlineStr">
        <is>
          <t>full</t>
        </is>
      </c>
      <c r="E7" s="6" t="n"/>
      <c r="F7" s="6" t="n"/>
      <c r="G7" s="6" t="n"/>
      <c r="H7" s="5" t="n">
        <v>710</v>
      </c>
      <c r="I7" s="5" t="inlineStr">
        <is>
          <t>211,5 NTU</t>
        </is>
      </c>
      <c r="J7" s="5" t="inlineStr">
        <is>
          <t>0,55v</t>
        </is>
      </c>
      <c r="K7" s="5" t="n"/>
      <c r="L7" s="5" t="inlineStr">
        <is>
          <t>0 NTU</t>
        </is>
      </c>
    </row>
    <row r="8">
      <c r="B8" s="7" t="n">
        <v>2</v>
      </c>
      <c r="C8" s="8" t="n"/>
      <c r="D8" s="8" t="n">
        <v>14.7</v>
      </c>
      <c r="E8" s="8" t="n">
        <v>0.3</v>
      </c>
      <c r="F8" s="8" t="n"/>
      <c r="G8" s="8" t="n"/>
      <c r="H8" s="8" t="n">
        <v>718</v>
      </c>
      <c r="I8" s="8" t="n">
        <v>206.9</v>
      </c>
      <c r="J8" s="6" t="n"/>
      <c r="K8" s="6" t="n"/>
      <c r="L8" s="13" t="inlineStr">
        <is>
          <t>9,44 NTU</t>
        </is>
      </c>
    </row>
    <row r="9">
      <c r="B9" s="7" t="n">
        <v>3</v>
      </c>
      <c r="C9" s="8" t="n"/>
      <c r="D9" s="8" t="n">
        <v>14.4</v>
      </c>
      <c r="E9" s="8" t="n">
        <v>0.6</v>
      </c>
      <c r="F9" s="8" t="n"/>
      <c r="G9" s="8" t="n"/>
      <c r="H9" s="8" t="n">
        <v>726</v>
      </c>
      <c r="I9" s="8" t="n">
        <v>202</v>
      </c>
      <c r="J9" s="6" t="n"/>
      <c r="K9" s="6" t="n"/>
      <c r="L9" s="13" t="inlineStr">
        <is>
          <t>19,47 NTU</t>
        </is>
      </c>
    </row>
    <row r="10">
      <c r="B10" s="7" t="n">
        <v>4</v>
      </c>
      <c r="C10" s="8" t="n"/>
      <c r="D10" s="8" t="n">
        <v>14.01</v>
      </c>
      <c r="E10" s="8" t="n">
        <v>0.9</v>
      </c>
      <c r="F10" s="8" t="n"/>
      <c r="G10" s="8" t="n"/>
      <c r="H10" s="8" t="n">
        <v>732</v>
      </c>
      <c r="I10" s="8" t="n">
        <v>197.4</v>
      </c>
      <c r="J10" s="6" t="n"/>
      <c r="K10" s="6" t="n"/>
      <c r="L10" s="13" t="inlineStr">
        <is>
          <t>28,97 NTU</t>
        </is>
      </c>
    </row>
    <row r="11">
      <c r="B11" s="7" t="n">
        <v>5</v>
      </c>
      <c r="C11" s="8" t="n"/>
      <c r="D11" s="8" t="n">
        <v>13.8</v>
      </c>
      <c r="E11" s="8" t="n">
        <v>1.2</v>
      </c>
      <c r="F11" s="8" t="n"/>
      <c r="G11" s="8" t="n"/>
      <c r="H11" s="8" t="n">
        <v>742</v>
      </c>
      <c r="I11" s="8" t="n">
        <v>192.6</v>
      </c>
      <c r="J11" s="6" t="n"/>
      <c r="K11" s="6" t="n"/>
      <c r="L11" s="13" t="inlineStr">
        <is>
          <t>38,72 NTU</t>
        </is>
      </c>
    </row>
    <row r="12">
      <c r="B12" s="7" t="n">
        <v>6</v>
      </c>
      <c r="C12" s="8" t="n"/>
      <c r="D12" s="8" t="n">
        <v>13.31</v>
      </c>
      <c r="E12" s="8" t="n">
        <v>1.69</v>
      </c>
      <c r="F12" s="8" t="n"/>
      <c r="G12" s="8" t="n"/>
      <c r="H12" s="8" t="n">
        <v>748</v>
      </c>
      <c r="I12" s="8" t="n">
        <v>188.4</v>
      </c>
      <c r="J12" s="6" t="n"/>
      <c r="K12" s="6" t="n"/>
      <c r="L12" s="13" t="inlineStr">
        <is>
          <t>47,45 NTU</t>
        </is>
      </c>
    </row>
    <row r="13">
      <c r="B13" s="7" t="n">
        <v>7</v>
      </c>
      <c r="C13" s="14" t="n"/>
      <c r="D13" s="16" t="n">
        <v>9</v>
      </c>
      <c r="E13" s="16" t="n">
        <v>6</v>
      </c>
      <c r="F13" s="9" t="n"/>
      <c r="G13" s="9" t="n"/>
      <c r="H13" s="9" t="n">
        <v>852</v>
      </c>
      <c r="I13" s="9" t="n">
        <v>192</v>
      </c>
      <c r="J13" s="6" t="n"/>
      <c r="K13" s="6" t="n"/>
      <c r="L13" s="13" t="inlineStr">
        <is>
          <t>177,3 NTU</t>
        </is>
      </c>
    </row>
    <row r="14">
      <c r="B14" s="8" t="n">
        <v>8</v>
      </c>
      <c r="C14" s="10" t="n"/>
      <c r="D14" s="10" t="n"/>
      <c r="E14" s="10" t="n"/>
      <c r="F14" s="10" t="n"/>
      <c r="G14" s="10" t="n"/>
      <c r="H14" s="10" t="n"/>
      <c r="I14" s="10" t="n"/>
      <c r="J14" s="6" t="n"/>
      <c r="K14" s="6" t="n"/>
      <c r="L14" s="6" t="n"/>
    </row>
    <row r="15" ht="25.5" customHeight="1">
      <c r="B15" s="8" t="n">
        <v>9</v>
      </c>
      <c r="C15" s="8" t="inlineStr">
        <is>
          <t>Full Formazin</t>
        </is>
      </c>
      <c r="D15" s="8" t="n"/>
      <c r="E15" s="8" t="n"/>
      <c r="F15" s="8" t="n"/>
      <c r="G15" s="8" t="n"/>
      <c r="H15" s="8" t="n">
        <v>1084</v>
      </c>
      <c r="I15" s="11" t="inlineStr">
        <is>
          <t>0 ntu</t>
        </is>
      </c>
      <c r="J15" s="5" t="inlineStr">
        <is>
          <t>0,88v</t>
        </is>
      </c>
      <c r="K15" s="6" t="n"/>
      <c r="L15" s="12" t="inlineStr">
        <is>
          <t>468 NTU</t>
        </is>
      </c>
    </row>
    <row r="16">
      <c r="B16" s="15" t="n">
        <v>10</v>
      </c>
      <c r="C16" s="6" t="inlineStr">
        <is>
          <t>Kondisi Tidak dicelup air</t>
        </is>
      </c>
      <c r="D16" s="6" t="n">
        <v>0</v>
      </c>
      <c r="E16" s="6" t="n">
        <v>0</v>
      </c>
      <c r="F16" s="6" t="n"/>
      <c r="G16" s="6" t="n"/>
      <c r="H16" s="6" t="n">
        <v>637</v>
      </c>
      <c r="I16" s="13" t="n">
        <v>257</v>
      </c>
      <c r="J16" s="13" t="inlineStr">
        <is>
          <t>0,51v</t>
        </is>
      </c>
      <c r="K16" s="6" t="n"/>
      <c r="L16" s="6" t="n"/>
    </row>
  </sheetData>
  <mergeCells count="4">
    <mergeCell ref="K5:L5"/>
    <mergeCell ref="C4:L4"/>
    <mergeCell ref="H5:J5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42" customWidth="1" min="5" max="5"/>
  </cols>
  <sheetData>
    <row r="1">
      <c r="A1" s="19" t="inlineStr">
        <is>
          <t>Pembacaan Alat Sebelum Regresi - Tidak Dipakai untuk Kalibrasi</t>
        </is>
      </c>
    </row>
    <row r="2">
      <c r="A2" s="35" t="inlineStr">
        <is>
          <t>Nilai ini dipertahankan sebagai riwayat. Jangan gunakan sebagai NTU referensi atau untuk menghitung koefisien firmware.</t>
        </is>
      </c>
    </row>
    <row r="4">
      <c r="A4" s="26" t="inlineStr">
        <is>
          <t>No. Asal</t>
        </is>
      </c>
      <c r="B4" s="26" t="inlineStr">
        <is>
          <t>ADC Alatku</t>
        </is>
      </c>
      <c r="C4" s="26" t="inlineStr">
        <is>
          <t>NTU Alatku Lama</t>
        </is>
      </c>
      <c r="D4" s="26" t="inlineStr">
        <is>
          <t>Volt Alatku</t>
        </is>
      </c>
      <c r="E4" s="26" t="inlineStr">
        <is>
          <t>Catatan</t>
        </is>
      </c>
    </row>
    <row r="5">
      <c r="A5" s="22" t="n">
        <v>1</v>
      </c>
      <c r="B5" s="22" t="n">
        <v>710</v>
      </c>
      <c r="C5" s="36" t="n">
        <v>211.5</v>
      </c>
      <c r="D5" s="23" t="n">
        <v>0.55</v>
      </c>
      <c r="E5" s="22" t="inlineStr">
        <is>
          <t>Tidak digunakan untuk regresi</t>
        </is>
      </c>
    </row>
    <row r="6">
      <c r="A6" s="22" t="n">
        <v>2</v>
      </c>
      <c r="B6" s="22" t="n">
        <v>718</v>
      </c>
      <c r="C6" s="36" t="n">
        <v>206.9</v>
      </c>
      <c r="D6" s="23" t="n"/>
      <c r="E6" s="22" t="inlineStr">
        <is>
          <t>Tidak digunakan untuk regresi</t>
        </is>
      </c>
    </row>
    <row r="7">
      <c r="A7" s="22" t="n">
        <v>3</v>
      </c>
      <c r="B7" s="22" t="n">
        <v>726</v>
      </c>
      <c r="C7" s="36" t="n">
        <v>202</v>
      </c>
      <c r="D7" s="23" t="n"/>
      <c r="E7" s="22" t="inlineStr">
        <is>
          <t>Tidak digunakan untuk regresi</t>
        </is>
      </c>
    </row>
    <row r="8">
      <c r="A8" s="22" t="n">
        <v>4</v>
      </c>
      <c r="B8" s="22" t="n">
        <v>732</v>
      </c>
      <c r="C8" s="36" t="n">
        <v>197.4</v>
      </c>
      <c r="D8" s="23" t="n"/>
      <c r="E8" s="22" t="inlineStr">
        <is>
          <t>Tidak digunakan untuk regresi</t>
        </is>
      </c>
    </row>
    <row r="9">
      <c r="A9" s="22" t="n">
        <v>5</v>
      </c>
      <c r="B9" s="22" t="n">
        <v>742</v>
      </c>
      <c r="C9" s="36" t="n">
        <v>192.6</v>
      </c>
      <c r="D9" s="23" t="n"/>
      <c r="E9" s="22" t="inlineStr">
        <is>
          <t>Tidak digunakan untuk regresi</t>
        </is>
      </c>
    </row>
    <row r="10">
      <c r="A10" s="22" t="n">
        <v>6</v>
      </c>
      <c r="B10" s="22" t="n">
        <v>748</v>
      </c>
      <c r="C10" s="36" t="n">
        <v>188.4</v>
      </c>
      <c r="D10" s="23" t="n"/>
      <c r="E10" s="22" t="inlineStr">
        <is>
          <t>Tidak digunakan untuk regresi</t>
        </is>
      </c>
    </row>
    <row r="11">
      <c r="A11" s="22" t="n">
        <v>7</v>
      </c>
      <c r="B11" s="22" t="n">
        <v>852</v>
      </c>
      <c r="C11" s="36" t="n">
        <v>192</v>
      </c>
      <c r="D11" s="23" t="n"/>
      <c r="E11" s="22" t="inlineStr">
        <is>
          <t>Tidak digunakan untuk regresi</t>
        </is>
      </c>
    </row>
    <row r="12">
      <c r="A12" s="22" t="n">
        <v>9</v>
      </c>
      <c r="B12" s="22" t="n">
        <v>1084</v>
      </c>
      <c r="C12" s="36" t="n">
        <v>0</v>
      </c>
      <c r="D12" s="23" t="n">
        <v>0.88</v>
      </c>
      <c r="E12" s="22" t="inlineStr">
        <is>
          <t>Tidak digunakan untuk regresi</t>
        </is>
      </c>
    </row>
    <row r="13">
      <c r="A13" s="22" t="n">
        <v>10</v>
      </c>
      <c r="B13" s="22" t="n">
        <v>637</v>
      </c>
      <c r="C13" s="36" t="n">
        <v>257</v>
      </c>
      <c r="D13" s="23" t="n">
        <v>0.51</v>
      </c>
      <c r="E13" s="22" t="inlineStr">
        <is>
          <t>Sensor tidak dicelup; data diagnostik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Fabian Hardianto</dc:creator>
  <dcterms:created xsi:type="dcterms:W3CDTF">2026-09-15T03:19:32Z</dcterms:created>
  <dcterms:modified xsi:type="dcterms:W3CDTF">2026-09-15T14:33:59Z</dcterms:modified>
  <cp:lastModifiedBy>Fabian Hardianto</cp:lastModifiedBy>
</cp:coreProperties>
</file>